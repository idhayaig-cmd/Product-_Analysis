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aya\Desktop\Innovation Hub\Final Data\Final Data\"/>
    </mc:Choice>
  </mc:AlternateContent>
  <xr:revisionPtr revIDLastSave="0" documentId="13_ncr:1_{4B9BF4E5-5022-4522-A636-FCB5EE9F1BEB}" xr6:coauthVersionLast="47" xr6:coauthVersionMax="47" xr10:uidLastSave="{00000000-0000-0000-0000-000000000000}"/>
  <bookViews>
    <workbookView xWindow="-108" yWindow="-108" windowWidth="23256" windowHeight="13896" xr2:uid="{8F6B137C-3EF5-4CEC-80A3-F15A32A71342}"/>
  </bookViews>
  <sheets>
    <sheet name="Dataset" sheetId="2" r:id="rId1"/>
    <sheet name="Sheet1" sheetId="1" state="hidden" r:id="rId2"/>
  </sheets>
  <definedNames>
    <definedName name="ExternalData_1" localSheetId="0" hidden="1">Dataset!$A$1:$F$35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" l="1"/>
  <c r="M53" i="2"/>
  <c r="M45" i="2"/>
  <c r="Q15" i="2"/>
  <c r="Q62" i="2"/>
  <c r="Q54" i="2"/>
  <c r="Q47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Q35" i="2"/>
  <c r="Q2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M32" i="2"/>
  <c r="M26" i="2"/>
  <c r="M17" i="2"/>
  <c r="M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126EF3-EB4C-4DAC-8929-DA2274663FAA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<sst xmlns="http://schemas.openxmlformats.org/spreadsheetml/2006/main" count="209" uniqueCount="160">
  <si>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</si>
  <si>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</si>
  <si>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</si>
  <si>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</si>
  <si>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</si>
  <si>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</si>
  <si>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</si>
  <si>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</si>
  <si>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</si>
  <si>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</si>
  <si>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</si>
  <si>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</si>
  <si>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</si>
  <si>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</si>
  <si>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</si>
  <si>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</si>
  <si>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</si>
  <si>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</si>
  <si>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</si>
  <si>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</si>
  <si>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</si>
  <si>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</si>
  <si>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</si>
  <si>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</si>
  <si>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</si>
  <si>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</si>
  <si>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</si>
  <si>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</si>
  <si>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</si>
  <si>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</si>
  <si>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</si>
  <si>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</si>
  <si>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</si>
  <si>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</si>
  <si>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</si>
  <si>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</si>
  <si>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</si>
  <si>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</si>
  <si>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</si>
  <si>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</si>
  <si>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</si>
  <si>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</si>
  <si>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</si>
  <si>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</si>
  <si>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</si>
  <si>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</si>
  <si>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</si>
  <si>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</si>
  <si>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</si>
  <si>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</si>
  <si>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</si>
  <si>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</si>
  <si>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</si>
  <si>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</si>
  <si>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</si>
  <si>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</si>
  <si>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</si>
  <si>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</si>
  <si>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</si>
  <si>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</si>
  <si>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</si>
  <si>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</si>
  <si>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</si>
  <si>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</si>
  <si>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</si>
  <si>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</si>
  <si>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</si>
  <si>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</si>
  <si>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</si>
  <si>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</si>
  <si>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</si>
  <si>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</si>
  <si>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</si>
  <si>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</si>
  <si>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</si>
  <si>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</si>
  <si>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</si>
  <si>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</si>
  <si>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</si>
  <si>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</si>
  <si>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</si>
  <si>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</si>
  <si>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</si>
  <si>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</si>
  <si>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</si>
  <si>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</si>
  <si>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</si>
  <si>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</si>
  <si>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</si>
  <si>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</si>
  <si>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</si>
  <si>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</si>
  <si>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</si>
  <si>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 No 1</t>
  </si>
  <si>
    <t>SUM,COUNT,AVERAGE</t>
  </si>
  <si>
    <t>1) Calculate the Total Price of All Products In The Dataset.</t>
  </si>
  <si>
    <t>FORMULAE: =SUM(D2:D35)</t>
  </si>
  <si>
    <t>SUM</t>
  </si>
  <si>
    <t xml:space="preserve">2)How Many Products Exist In The Dataset. </t>
  </si>
  <si>
    <t>FORMULAE: =COUNTA(B2:B35)</t>
  </si>
  <si>
    <t>COUNTA</t>
  </si>
  <si>
    <t>Count</t>
  </si>
  <si>
    <t>Example</t>
  </si>
  <si>
    <t>The below mention scenario we can't perform in count function. Because the product range is it showing string text format.</t>
  </si>
  <si>
    <t>FORMULAE: =COUNT(B2:B35)</t>
  </si>
  <si>
    <t>COUNT</t>
  </si>
  <si>
    <t>FORMULAE: =AVERAGE(D2:D35)</t>
  </si>
  <si>
    <t>AVERAGE</t>
  </si>
  <si>
    <r>
      <t>Price Range:    "</t>
    </r>
    <r>
      <rPr>
        <b/>
        <u val="double"/>
        <sz val="14"/>
        <color rgb="FFC00000"/>
        <rFont val="Cambria"/>
        <family val="1"/>
      </rPr>
      <t>Standard Price</t>
    </r>
    <r>
      <rPr>
        <b/>
        <sz val="14"/>
        <color rgb="FFC00000"/>
        <rFont val="Cambria"/>
        <family val="1"/>
      </rPr>
      <t>"</t>
    </r>
  </si>
  <si>
    <t>IF</t>
  </si>
  <si>
    <r>
      <t>Price Range:    "</t>
    </r>
    <r>
      <rPr>
        <b/>
        <u val="double"/>
        <sz val="14"/>
        <color rgb="FFC00000"/>
        <rFont val="Cambria"/>
        <family val="1"/>
      </rPr>
      <t>High Price</t>
    </r>
    <r>
      <rPr>
        <b/>
        <sz val="14"/>
        <color rgb="FFC00000"/>
        <rFont val="Cambria"/>
        <family val="1"/>
      </rPr>
      <t>"</t>
    </r>
  </si>
  <si>
    <t>NESTED IF</t>
  </si>
  <si>
    <t>FORMULAE: =IF(D2&gt;=500,"High Price",IF(D2&lt;500,"Standard Price","True"))</t>
  </si>
  <si>
    <t xml:space="preserve">1)Categorize Products Based on their Price: If Price ≥ $500 → Classify as High Price 
 If Price &lt; $500 → Classify as Standard Price </t>
  </si>
  <si>
    <t>IF FUNCTIONS</t>
  </si>
  <si>
    <t>Question No 3</t>
  </si>
  <si>
    <t>Question No 4</t>
  </si>
  <si>
    <t>SUMIF ,COUNTIF FUNCTIONS</t>
  </si>
  <si>
    <r>
      <t>1)Calculate the T</t>
    </r>
    <r>
      <rPr>
        <b/>
        <sz val="14"/>
        <color rgb="FFFF0000"/>
        <rFont val="Calibri"/>
        <family val="2"/>
      </rPr>
      <t>otal price of products in the Electronics category</t>
    </r>
    <r>
      <rPr>
        <sz val="14"/>
        <color rgb="FFFF0000"/>
        <rFont val="Calibri"/>
        <family val="2"/>
      </rPr>
      <t xml:space="preserve">. </t>
    </r>
  </si>
  <si>
    <t>FORMULAE: =SUMIF(F2:F35,"Electronics",D2:D35)</t>
  </si>
  <si>
    <t>SUMIF</t>
  </si>
  <si>
    <r>
      <t>2)Determine the N</t>
    </r>
    <r>
      <rPr>
        <b/>
        <sz val="14"/>
        <color rgb="FFFF0000"/>
        <rFont val="Calibri"/>
        <family val="2"/>
      </rPr>
      <t>umber of Products with a Price less than $100</t>
    </r>
    <r>
      <rPr>
        <sz val="14"/>
        <color rgb="FFFF0000"/>
        <rFont val="Calibri"/>
        <family val="2"/>
      </rPr>
      <t xml:space="preserve">. </t>
    </r>
  </si>
  <si>
    <t>FORMULAE: =COUNTIF(D2:D35,"&lt;100")</t>
  </si>
  <si>
    <t>COUNTIF</t>
  </si>
  <si>
    <t>Question No 5</t>
  </si>
  <si>
    <t>LEFT,RIGHT,MID Functions</t>
  </si>
  <si>
    <r>
      <t xml:space="preserve">1) Create A New Column Named </t>
    </r>
    <r>
      <rPr>
        <b/>
        <sz val="14"/>
        <color rgb="FFFF0000"/>
        <rFont val="Calibri"/>
        <family val="2"/>
      </rPr>
      <t xml:space="preserve">Day With The First 2 Characters of Each 'Product ID' Using The LEFT Function. </t>
    </r>
  </si>
  <si>
    <t>LEFT</t>
  </si>
  <si>
    <t>2) Create A New Column Named Country Code By Extracting The Last 2 Characters From The 'Product ID' Column Using The RIGHT Function.</t>
  </si>
  <si>
    <t>RIGHT</t>
  </si>
  <si>
    <t>3) Create A New Column Named Month By Extracting The 4th To 6th Characters From The 'Product ID' Column Using The MID Function.</t>
  </si>
  <si>
    <t>MID</t>
  </si>
  <si>
    <t>Price Range</t>
  </si>
  <si>
    <t>Day</t>
  </si>
  <si>
    <t>Country Code</t>
  </si>
  <si>
    <t>Month</t>
  </si>
  <si>
    <t>FORMULAE: =IF(D11&gt;500,"High Price","Standard Price")</t>
  </si>
  <si>
    <t>Total Electronics category:   $8,050</t>
  </si>
  <si>
    <t>FORMULAE: =MID(A2,4,6)</t>
  </si>
  <si>
    <t>FORMULAE: =RIGHT(A2,2)</t>
  </si>
  <si>
    <t>FORMULAE: =LEFT(A2,2)</t>
  </si>
  <si>
    <t>Count function is always counting only Numeric value and Integer and Decimal value.</t>
  </si>
  <si>
    <t>3)Calculate The Average Price of The Products.</t>
  </si>
  <si>
    <t xml:space="preserve"> Total Number of Products:     34</t>
  </si>
  <si>
    <t xml:space="preserve"> Average Price of The Products:     $297</t>
  </si>
  <si>
    <t xml:space="preserve"> Total Price of All Products:      $10,100</t>
  </si>
  <si>
    <t>Question No 2</t>
  </si>
  <si>
    <t>MIN,MAX</t>
  </si>
  <si>
    <t xml:space="preserve">1) Identify The Minimum Price Among All Products. </t>
  </si>
  <si>
    <t>FORMULAE: =MIN(D2:D35)</t>
  </si>
  <si>
    <t>MIN</t>
  </si>
  <si>
    <t xml:space="preserve">2) Identify The Maxmimum Price Among All Products. </t>
  </si>
  <si>
    <t>FORMULAE: =MAX(D2:D35)</t>
  </si>
  <si>
    <t>MAX</t>
  </si>
  <si>
    <t>Minimum Price of All Products:   $30</t>
  </si>
  <si>
    <t>Maximum Price of All Products:   $1,000</t>
  </si>
  <si>
    <t>Number of Products with a Price less than:   $11</t>
  </si>
  <si>
    <t>Day:   28</t>
  </si>
  <si>
    <t>Country Code:   US</t>
  </si>
  <si>
    <t>Month:   JAN-US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</si>
</sst>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0000"/>
      <name val="Times New Roman"/>
      <family val="1"/>
    </font>
    <font>
      <b/>
      <sz val="16"/>
      <color rgb="FFC0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theme="1"/>
      <name val="Cambria"/>
      <family val="1"/>
    </font>
    <font>
      <b/>
      <sz val="14"/>
      <color rgb="FFC00000"/>
      <name val="Cambria"/>
      <family val="1"/>
    </font>
    <font>
      <sz val="16"/>
      <color theme="1"/>
      <name val="Aptos Narrow"/>
      <family val="2"/>
      <scheme val="minor"/>
    </font>
    <font>
      <b/>
      <sz val="10"/>
      <color theme="1"/>
      <name val="Cambria"/>
      <family val="1"/>
    </font>
    <font>
      <b/>
      <sz val="12"/>
      <color rgb="FFC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Aptos Narrow"/>
      <family val="2"/>
      <scheme val="minor"/>
    </font>
    <font>
      <b/>
      <u val="double"/>
      <sz val="14"/>
      <color rgb="FFC00000"/>
      <name val="Cambria"/>
      <family val="1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/>
    <xf numFmtId="0" fontId="4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indent="5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 vertical="top"/>
    </xf>
    <xf numFmtId="0" fontId="8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0" fontId="4" fillId="0" borderId="0" xfId="0" applyFont="1" applyAlignment="1">
      <alignment horizontal="left" vertical="center" wrapText="1"/>
    </xf>
    <xf numFmtId="164" fontId="5" fillId="3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$-409]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E60ECB-8973-4E9B-B8C6-9DCFDD6D4C9D}" autoFormatId="16" applyNumberFormats="0" applyBorderFormats="0" applyFontFormats="0" applyPatternFormats="0" applyAlignmentFormats="0" applyWidthHeightFormats="0">
  <queryTableRefresh nextId="12" unboundColumnsRight="4">
    <queryTableFields count="10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8" dataBound="0" tableColumnId="7"/>
      <queryTableField id="9" dataBound="0" tableColumnId="8"/>
      <queryTableField id="10" dataBound="0" tableColumnId="9"/>
      <queryTableField id="11" dataBound="0" tableColumnId="10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70389-FF63-47BE-B5AA-F4981D4E356D}" name="Dataset" displayName="Dataset" ref="A1:J35" tableType="queryTable" totalsRowShown="0" headerRowDxfId="11" dataDxfId="10">
  <tableColumns count="10">
    <tableColumn id="1" xr3:uid="{FD680CDB-72EC-482A-B90D-86AB2F3FB297}" uniqueName="1" name="Product ID" queryTableFieldId="1" dataDxfId="9"/>
    <tableColumn id="2" xr3:uid="{05046A5A-0377-4584-BA8F-CA80E811C853}" uniqueName="2" name="Product Name" queryTableFieldId="2" dataDxfId="8"/>
    <tableColumn id="3" xr3:uid="{66F8A069-87F6-4E3B-BA55-9DE77E1764F4}" uniqueName="3" name="Brand Name" queryTableFieldId="3" dataDxfId="7"/>
    <tableColumn id="4" xr3:uid="{A328AACE-7F42-4CF9-8171-CF01CEBB244D}" uniqueName="4" name="Price ($)" queryTableFieldId="4" dataDxfId="6"/>
    <tableColumn id="5" xr3:uid="{2CEC6660-307D-4340-AD4C-62A061878815}" uniqueName="5" name="Quantity" queryTableFieldId="5" dataDxfId="5"/>
    <tableColumn id="6" xr3:uid="{8F75F840-8767-4575-BBB0-99BD7E0484DA}" uniqueName="6" name="Category" queryTableFieldId="6" dataDxfId="4"/>
    <tableColumn id="7" xr3:uid="{B006E808-26DF-443B-A9DF-58BBBC888EF2}" uniqueName="7" name="Price Range" queryTableFieldId="8" dataDxfId="3">
      <calculatedColumnFormula>IF(Dataset[[#This Row],[Price ($)]]&gt;=500,"High Price",IF(Dataset[[#This Row],[Price ($)]]&lt;500,"Standard Price","True"))</calculatedColumnFormula>
    </tableColumn>
    <tableColumn id="8" xr3:uid="{F2B06E66-6908-4814-9B76-A939A90F81A1}" uniqueName="8" name="Day" queryTableFieldId="9" dataDxfId="2">
      <calculatedColumnFormula>LEFT(Dataset[[#This Row],[Product ID]],2)</calculatedColumnFormula>
    </tableColumn>
    <tableColumn id="9" xr3:uid="{228337B7-EE1B-4AA9-9AC7-F88EE1823283}" uniqueName="9" name="Country Code" queryTableFieldId="10" dataDxfId="1">
      <calculatedColumnFormula>RIGHT(Dataset[[#This Row],[Product ID]],2)</calculatedColumnFormula>
    </tableColumn>
    <tableColumn id="10" xr3:uid="{9BE87DD9-75A3-4486-94B6-B20E4D1D895A}" uniqueName="10" name="Month" queryTableFieldId="11" dataDxfId="0">
      <calculatedColumnFormula>MID(Dataset[[#This Row],[Product ID]],4,6)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8029-EB6C-4621-948D-ECC77BBB4C4D}">
  <dimension ref="A1:Q64"/>
  <sheetViews>
    <sheetView tabSelected="1" workbookViewId="0"/>
  </sheetViews>
  <sheetFormatPr defaultRowHeight="14.4" x14ac:dyDescent="0.3"/>
  <cols>
    <col min="1" max="1" width="11.88671875" bestFit="1" customWidth="1"/>
    <col min="2" max="2" width="15.109375" bestFit="1" customWidth="1"/>
    <col min="3" max="3" width="13.44140625" bestFit="1" customWidth="1"/>
    <col min="4" max="4" width="10.21875" bestFit="1" customWidth="1"/>
    <col min="5" max="5" width="10.33203125" bestFit="1" customWidth="1"/>
    <col min="6" max="6" width="10.88671875" bestFit="1" customWidth="1"/>
    <col min="7" max="7" width="13.88671875" style="25" bestFit="1" customWidth="1"/>
    <col min="8" max="8" width="8.33203125" customWidth="1"/>
    <col min="9" max="9" width="12.109375" bestFit="1" customWidth="1"/>
    <col min="10" max="10" width="10.6640625" customWidth="1"/>
    <col min="11" max="11" width="5.44140625" customWidth="1"/>
    <col min="12" max="12" width="14.21875" bestFit="1" customWidth="1"/>
    <col min="13" max="13" width="110.6640625" bestFit="1" customWidth="1"/>
    <col min="14" max="14" width="7" customWidth="1"/>
    <col min="15" max="15" width="6.88671875" customWidth="1"/>
    <col min="16" max="16" width="12.88671875" customWidth="1"/>
    <col min="17" max="17" width="119.33203125" bestFit="1" customWidth="1"/>
  </cols>
  <sheetData>
    <row r="1" spans="1:17" ht="2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132</v>
      </c>
      <c r="H1" s="1" t="s">
        <v>133</v>
      </c>
      <c r="I1" s="1" t="s">
        <v>134</v>
      </c>
      <c r="J1" s="1" t="s">
        <v>135</v>
      </c>
      <c r="M1" s="2" t="s">
        <v>93</v>
      </c>
      <c r="Q1" s="2" t="s">
        <v>115</v>
      </c>
    </row>
    <row r="2" spans="1:17" x14ac:dyDescent="0.3">
      <c r="A2" s="1" t="s">
        <v>6</v>
      </c>
      <c r="B2" s="1" t="s">
        <v>7</v>
      </c>
      <c r="C2" s="1" t="s">
        <v>8</v>
      </c>
      <c r="D2" s="20">
        <v>1000</v>
      </c>
      <c r="E2" s="1">
        <v>30</v>
      </c>
      <c r="F2" s="1" t="s">
        <v>9</v>
      </c>
      <c r="G2" s="1" t="str">
        <f>IF(Dataset[[#This Row],[Price ($)]]&gt;=500,"High Price",IF(Dataset[[#This Row],[Price ($)]]&lt;500,"Standard Price","True"))</f>
        <v>High Price</v>
      </c>
      <c r="H2" s="1" t="str">
        <f>LEFT(Dataset[[#This Row],[Product ID]],2)</f>
        <v>28</v>
      </c>
      <c r="I2" s="1" t="str">
        <f>RIGHT(Dataset[[#This Row],[Product ID]],2)</f>
        <v>US</v>
      </c>
      <c r="J2" s="1" t="str">
        <f>MID(Dataset[[#This Row],[Product ID]],4,6)</f>
        <v>JAN-US</v>
      </c>
    </row>
    <row r="3" spans="1:17" ht="16.2" customHeight="1" x14ac:dyDescent="0.3">
      <c r="A3" s="1" t="s">
        <v>10</v>
      </c>
      <c r="B3" s="1" t="s">
        <v>11</v>
      </c>
      <c r="C3" s="1" t="s">
        <v>12</v>
      </c>
      <c r="D3" s="20">
        <v>80</v>
      </c>
      <c r="E3" s="1">
        <v>15</v>
      </c>
      <c r="F3" s="1" t="s">
        <v>13</v>
      </c>
      <c r="G3" s="1" t="str">
        <f>IF(Dataset[[#This Row],[Price ($)]]&gt;=500,"High Price",IF(Dataset[[#This Row],[Price ($)]]&lt;500,"Standard Price","True"))</f>
        <v>Standard Price</v>
      </c>
      <c r="H3" s="1" t="str">
        <f>LEFT(Dataset[[#This Row],[Product ID]],2)</f>
        <v>15</v>
      </c>
      <c r="I3" s="1" t="str">
        <f>RIGHT(Dataset[[#This Row],[Product ID]],2)</f>
        <v>US</v>
      </c>
      <c r="J3" s="1" t="str">
        <f>MID(Dataset[[#This Row],[Product ID]],4,6)</f>
        <v>FEB-US</v>
      </c>
      <c r="M3" s="3" t="s">
        <v>94</v>
      </c>
      <c r="Q3" s="3" t="s">
        <v>114</v>
      </c>
    </row>
    <row r="4" spans="1:17" x14ac:dyDescent="0.3">
      <c r="A4" s="1" t="s">
        <v>14</v>
      </c>
      <c r="B4" s="1" t="s">
        <v>15</v>
      </c>
      <c r="C4" s="1" t="s">
        <v>16</v>
      </c>
      <c r="D4" s="20">
        <v>130</v>
      </c>
      <c r="E4" s="1">
        <v>40</v>
      </c>
      <c r="F4" s="1" t="s">
        <v>17</v>
      </c>
      <c r="G4" s="1" t="str">
        <f>IF(Dataset[[#This Row],[Price ($)]]&gt;=500,"High Price",IF(Dataset[[#This Row],[Price ($)]]&lt;500,"Standard Price","True"))</f>
        <v>Standard Price</v>
      </c>
      <c r="H4" s="1" t="str">
        <f>LEFT(Dataset[[#This Row],[Product ID]],2)</f>
        <v>03</v>
      </c>
      <c r="I4" s="1" t="str">
        <f>RIGHT(Dataset[[#This Row],[Product ID]],2)</f>
        <v>US</v>
      </c>
      <c r="J4" s="1" t="str">
        <f>MID(Dataset[[#This Row],[Product ID]],4,6)</f>
        <v>MAR-US</v>
      </c>
    </row>
    <row r="5" spans="1:17" ht="17.399999999999999" customHeight="1" x14ac:dyDescent="0.3">
      <c r="A5" s="1" t="s">
        <v>18</v>
      </c>
      <c r="B5" s="1" t="s">
        <v>19</v>
      </c>
      <c r="C5" s="1" t="s">
        <v>20</v>
      </c>
      <c r="D5" s="20">
        <v>900</v>
      </c>
      <c r="E5" s="1">
        <v>25</v>
      </c>
      <c r="F5" s="1" t="s">
        <v>9</v>
      </c>
      <c r="G5" s="1" t="str">
        <f>IF(Dataset[[#This Row],[Price ($)]]&gt;=500,"High Price",IF(Dataset[[#This Row],[Price ($)]]&lt;500,"Standard Price","True"))</f>
        <v>High Price</v>
      </c>
      <c r="H5" s="1" t="str">
        <f>LEFT(Dataset[[#This Row],[Product ID]],2)</f>
        <v>11</v>
      </c>
      <c r="I5" s="1" t="str">
        <f>RIGHT(Dataset[[#This Row],[Product ID]],2)</f>
        <v>US</v>
      </c>
      <c r="J5" s="1" t="str">
        <f>MID(Dataset[[#This Row],[Product ID]],4,6)</f>
        <v>APR-US</v>
      </c>
      <c r="M5" s="4" t="s">
        <v>95</v>
      </c>
      <c r="Q5" s="22" t="s">
        <v>113</v>
      </c>
    </row>
    <row r="6" spans="1:17" x14ac:dyDescent="0.3">
      <c r="A6" s="1" t="s">
        <v>21</v>
      </c>
      <c r="B6" s="1" t="s">
        <v>22</v>
      </c>
      <c r="C6" s="1" t="s">
        <v>23</v>
      </c>
      <c r="D6" s="20">
        <v>70</v>
      </c>
      <c r="E6" s="1">
        <v>20</v>
      </c>
      <c r="F6" s="1" t="s">
        <v>24</v>
      </c>
      <c r="G6" s="1" t="str">
        <f>IF(Dataset[[#This Row],[Price ($)]]&gt;=500,"High Price",IF(Dataset[[#This Row],[Price ($)]]&lt;500,"Standard Price","True"))</f>
        <v>Standard Price</v>
      </c>
      <c r="H6" s="1" t="str">
        <f>LEFT(Dataset[[#This Row],[Product ID]],2)</f>
        <v>22</v>
      </c>
      <c r="I6" s="1" t="str">
        <f>RIGHT(Dataset[[#This Row],[Product ID]],2)</f>
        <v>US</v>
      </c>
      <c r="J6" s="1" t="str">
        <f>MID(Dataset[[#This Row],[Product ID]],4,6)</f>
        <v>MAY-US</v>
      </c>
    </row>
    <row r="7" spans="1:17" ht="15" x14ac:dyDescent="0.3">
      <c r="A7" s="1" t="s">
        <v>25</v>
      </c>
      <c r="B7" s="1" t="s">
        <v>26</v>
      </c>
      <c r="C7" s="1" t="s">
        <v>27</v>
      </c>
      <c r="D7" s="20">
        <v>200</v>
      </c>
      <c r="E7" s="1">
        <v>45</v>
      </c>
      <c r="F7" s="1" t="s">
        <v>9</v>
      </c>
      <c r="G7" s="1" t="str">
        <f>IF(Dataset[[#This Row],[Price ($)]]&gt;=500,"High Price",IF(Dataset[[#This Row],[Price ($)]]&lt;500,"Standard Price","True"))</f>
        <v>Standard Price</v>
      </c>
      <c r="H7" s="1" t="str">
        <f>LEFT(Dataset[[#This Row],[Product ID]],2)</f>
        <v>07</v>
      </c>
      <c r="I7" s="1" t="str">
        <f>RIGHT(Dataset[[#This Row],[Product ID]],2)</f>
        <v>UK</v>
      </c>
      <c r="J7" s="1" t="str">
        <f>MID(Dataset[[#This Row],[Product ID]],4,6)</f>
        <v>JUN-UK</v>
      </c>
      <c r="M7" s="5" t="s">
        <v>96</v>
      </c>
      <c r="Q7" s="5" t="s">
        <v>112</v>
      </c>
    </row>
    <row r="8" spans="1:17" ht="15" thickBot="1" x14ac:dyDescent="0.35">
      <c r="A8" s="1" t="s">
        <v>28</v>
      </c>
      <c r="B8" s="1" t="s">
        <v>29</v>
      </c>
      <c r="C8" s="1" t="s">
        <v>30</v>
      </c>
      <c r="D8" s="20">
        <v>30</v>
      </c>
      <c r="E8" s="1">
        <v>5</v>
      </c>
      <c r="F8" s="1" t="s">
        <v>13</v>
      </c>
      <c r="G8" s="1" t="str">
        <f>IF(Dataset[[#This Row],[Price ($)]]&gt;=500,"High Price",IF(Dataset[[#This Row],[Price ($)]]&lt;500,"Standard Price","True"))</f>
        <v>Standard Price</v>
      </c>
      <c r="H8" s="1" t="str">
        <f>LEFT(Dataset[[#This Row],[Product ID]],2)</f>
        <v>19</v>
      </c>
      <c r="I8" s="1" t="str">
        <f>RIGHT(Dataset[[#This Row],[Product ID]],2)</f>
        <v>UK</v>
      </c>
      <c r="J8" s="1" t="str">
        <f>MID(Dataset[[#This Row],[Product ID]],4,6)</f>
        <v>JUL-UK</v>
      </c>
    </row>
    <row r="9" spans="1:17" ht="15.6" thickBot="1" x14ac:dyDescent="0.35">
      <c r="A9" s="1" t="s">
        <v>31</v>
      </c>
      <c r="B9" s="1" t="s">
        <v>32</v>
      </c>
      <c r="C9" s="1" t="s">
        <v>33</v>
      </c>
      <c r="D9" s="20">
        <v>90</v>
      </c>
      <c r="E9" s="1">
        <v>35</v>
      </c>
      <c r="F9" s="1" t="s">
        <v>17</v>
      </c>
      <c r="G9" s="1" t="str">
        <f>IF(Dataset[[#This Row],[Price ($)]]&gt;=500,"High Price",IF(Dataset[[#This Row],[Price ($)]]&lt;500,"Standard Price","True"))</f>
        <v>Standard Price</v>
      </c>
      <c r="H9" s="1" t="str">
        <f>LEFT(Dataset[[#This Row],[Product ID]],2)</f>
        <v>23</v>
      </c>
      <c r="I9" s="1" t="str">
        <f>RIGHT(Dataset[[#This Row],[Product ID]],2)</f>
        <v>UK</v>
      </c>
      <c r="J9" s="1" t="str">
        <f>MID(Dataset[[#This Row],[Product ID]],4,6)</f>
        <v>AUG-UK</v>
      </c>
      <c r="L9" s="6" t="s">
        <v>97</v>
      </c>
      <c r="M9" s="7">
        <f>SUM(Dataset[Price ($)])</f>
        <v>10100</v>
      </c>
      <c r="P9" s="6" t="s">
        <v>111</v>
      </c>
      <c r="Q9" s="6" t="str">
        <f>IF(D2&gt;=500,"High Price",IF(D2&lt;500,"Standard Price","True"))</f>
        <v>High Price</v>
      </c>
    </row>
    <row r="10" spans="1:17" ht="15" thickBot="1" x14ac:dyDescent="0.35">
      <c r="A10" s="1" t="s">
        <v>34</v>
      </c>
      <c r="B10" s="1" t="s">
        <v>35</v>
      </c>
      <c r="C10" s="1" t="s">
        <v>36</v>
      </c>
      <c r="D10" s="20">
        <v>500</v>
      </c>
      <c r="E10" s="1">
        <v>50</v>
      </c>
      <c r="F10" s="1" t="s">
        <v>9</v>
      </c>
      <c r="G10" s="1" t="str">
        <f>IF(Dataset[[#This Row],[Price ($)]]&gt;=500,"High Price",IF(Dataset[[#This Row],[Price ($)]]&lt;500,"Standard Price","True"))</f>
        <v>High Price</v>
      </c>
      <c r="H10" s="1" t="str">
        <f>LEFT(Dataset[[#This Row],[Product ID]],2)</f>
        <v>05</v>
      </c>
      <c r="I10" s="1" t="str">
        <f>RIGHT(Dataset[[#This Row],[Product ID]],2)</f>
        <v>UK</v>
      </c>
      <c r="J10" s="1" t="str">
        <f>MID(Dataset[[#This Row],[Product ID]],4,6)</f>
        <v>SEP-UK</v>
      </c>
      <c r="Q10" s="21"/>
    </row>
    <row r="11" spans="1:17" ht="18" thickBot="1" x14ac:dyDescent="0.35">
      <c r="A11" s="1" t="s">
        <v>37</v>
      </c>
      <c r="B11" s="1" t="s">
        <v>38</v>
      </c>
      <c r="C11" s="1" t="s">
        <v>39</v>
      </c>
      <c r="D11" s="20">
        <v>130</v>
      </c>
      <c r="E11" s="1">
        <v>10</v>
      </c>
      <c r="F11" s="1" t="s">
        <v>24</v>
      </c>
      <c r="G11" s="1" t="str">
        <f>IF(Dataset[[#This Row],[Price ($)]]&gt;=500,"High Price",IF(Dataset[[#This Row],[Price ($)]]&lt;500,"Standard Price","True"))</f>
        <v>Standard Price</v>
      </c>
      <c r="H11" s="1" t="str">
        <f>LEFT(Dataset[[#This Row],[Product ID]],2)</f>
        <v>14</v>
      </c>
      <c r="I11" s="1" t="str">
        <f>RIGHT(Dataset[[#This Row],[Product ID]],2)</f>
        <v>UK</v>
      </c>
      <c r="J11" s="1" t="str">
        <f>MID(Dataset[[#This Row],[Product ID]],4,6)</f>
        <v>OCT-UK</v>
      </c>
      <c r="M11" s="8" t="s">
        <v>145</v>
      </c>
      <c r="Q11" s="8" t="s">
        <v>110</v>
      </c>
    </row>
    <row r="12" spans="1:17" x14ac:dyDescent="0.3">
      <c r="A12" s="1" t="s">
        <v>40</v>
      </c>
      <c r="B12" s="1" t="s">
        <v>7</v>
      </c>
      <c r="C12" s="1" t="s">
        <v>41</v>
      </c>
      <c r="D12" s="20">
        <v>950</v>
      </c>
      <c r="E12" s="1">
        <v>25</v>
      </c>
      <c r="F12" s="1" t="s">
        <v>9</v>
      </c>
      <c r="G12" s="1" t="str">
        <f>IF(Dataset[[#This Row],[Price ($)]]&gt;=500,"High Price",IF(Dataset[[#This Row],[Price ($)]]&lt;500,"Standard Price","True"))</f>
        <v>High Price</v>
      </c>
      <c r="H12" s="1" t="str">
        <f>LEFT(Dataset[[#This Row],[Product ID]],2)</f>
        <v>17</v>
      </c>
      <c r="I12" s="1" t="str">
        <f>RIGHT(Dataset[[#This Row],[Product ID]],2)</f>
        <v>IN</v>
      </c>
      <c r="J12" s="1" t="str">
        <f>MID(Dataset[[#This Row],[Product ID]],4,6)</f>
        <v>JUN-IN</v>
      </c>
    </row>
    <row r="13" spans="1:17" ht="18" x14ac:dyDescent="0.3">
      <c r="A13" s="1" t="s">
        <v>42</v>
      </c>
      <c r="B13" s="1" t="s">
        <v>11</v>
      </c>
      <c r="C13" s="1" t="s">
        <v>30</v>
      </c>
      <c r="D13" s="20">
        <v>90</v>
      </c>
      <c r="E13" s="1">
        <v>40</v>
      </c>
      <c r="F13" s="1" t="s">
        <v>13</v>
      </c>
      <c r="G13" s="1" t="str">
        <f>IF(Dataset[[#This Row],[Price ($)]]&gt;=500,"High Price",IF(Dataset[[#This Row],[Price ($)]]&lt;500,"Standard Price","True"))</f>
        <v>Standard Price</v>
      </c>
      <c r="H13" s="1" t="str">
        <f>LEFT(Dataset[[#This Row],[Product ID]],2)</f>
        <v>25</v>
      </c>
      <c r="I13" s="1" t="str">
        <f>RIGHT(Dataset[[#This Row],[Product ID]],2)</f>
        <v>AU</v>
      </c>
      <c r="J13" s="1" t="str">
        <f>MID(Dataset[[#This Row],[Product ID]],4,6)</f>
        <v>NOV-AU</v>
      </c>
      <c r="M13" s="9" t="s">
        <v>98</v>
      </c>
      <c r="Q13" s="5" t="s">
        <v>136</v>
      </c>
    </row>
    <row r="14" spans="1:17" ht="15" thickBot="1" x14ac:dyDescent="0.35">
      <c r="A14" s="1" t="s">
        <v>43</v>
      </c>
      <c r="B14" s="1" t="s">
        <v>15</v>
      </c>
      <c r="C14" s="1" t="s">
        <v>44</v>
      </c>
      <c r="D14" s="20">
        <v>120</v>
      </c>
      <c r="E14" s="1">
        <v>35</v>
      </c>
      <c r="F14" s="1" t="s">
        <v>17</v>
      </c>
      <c r="G14" s="1" t="str">
        <f>IF(Dataset[[#This Row],[Price ($)]]&gt;=500,"High Price",IF(Dataset[[#This Row],[Price ($)]]&lt;500,"Standard Price","True"))</f>
        <v>Standard Price</v>
      </c>
      <c r="H14" s="1" t="str">
        <f>LEFT(Dataset[[#This Row],[Product ID]],2)</f>
        <v>08</v>
      </c>
      <c r="I14" s="1" t="str">
        <f>RIGHT(Dataset[[#This Row],[Product ID]],2)</f>
        <v>DE</v>
      </c>
      <c r="J14" s="1" t="str">
        <f>MID(Dataset[[#This Row],[Product ID]],4,6)</f>
        <v>DEC-DE</v>
      </c>
    </row>
    <row r="15" spans="1:17" ht="16.8" customHeight="1" thickBot="1" x14ac:dyDescent="0.35">
      <c r="A15" s="1" t="s">
        <v>45</v>
      </c>
      <c r="B15" s="1" t="s">
        <v>46</v>
      </c>
      <c r="C15" s="1" t="s">
        <v>47</v>
      </c>
      <c r="D15" s="20">
        <v>150</v>
      </c>
      <c r="E15" s="1">
        <v>15</v>
      </c>
      <c r="F15" s="1" t="s">
        <v>9</v>
      </c>
      <c r="G15" s="1" t="str">
        <f>IF(Dataset[[#This Row],[Price ($)]]&gt;=500,"High Price",IF(Dataset[[#This Row],[Price ($)]]&lt;500,"Standard Price","True"))</f>
        <v>Standard Price</v>
      </c>
      <c r="H15" s="1" t="str">
        <f>LEFT(Dataset[[#This Row],[Product ID]],2)</f>
        <v>18</v>
      </c>
      <c r="I15" s="1" t="str">
        <f>RIGHT(Dataset[[#This Row],[Product ID]],2)</f>
        <v>CA</v>
      </c>
      <c r="J15" s="1" t="str">
        <f>MID(Dataset[[#This Row],[Product ID]],4,6)</f>
        <v>FEB-CA</v>
      </c>
      <c r="M15" s="5" t="s">
        <v>99</v>
      </c>
      <c r="P15" s="6" t="s">
        <v>109</v>
      </c>
      <c r="Q15" s="6" t="str">
        <f>IF(D11&gt;500,"high Price","Standard Price")</f>
        <v>Standard Price</v>
      </c>
    </row>
    <row r="16" spans="1:17" ht="15" thickBot="1" x14ac:dyDescent="0.35">
      <c r="A16" s="1" t="s">
        <v>48</v>
      </c>
      <c r="B16" s="1" t="s">
        <v>26</v>
      </c>
      <c r="C16" s="1" t="s">
        <v>49</v>
      </c>
      <c r="D16" s="20">
        <v>250</v>
      </c>
      <c r="E16" s="1">
        <v>20</v>
      </c>
      <c r="F16" s="1" t="s">
        <v>9</v>
      </c>
      <c r="G16" s="1" t="str">
        <f>IF(Dataset[[#This Row],[Price ($)]]&gt;=500,"High Price",IF(Dataset[[#This Row],[Price ($)]]&lt;500,"Standard Price","True"))</f>
        <v>Standard Price</v>
      </c>
      <c r="H16" s="1" t="str">
        <f>LEFT(Dataset[[#This Row],[Product ID]],2)</f>
        <v>16</v>
      </c>
      <c r="I16" s="1" t="str">
        <f>RIGHT(Dataset[[#This Row],[Product ID]],2)</f>
        <v>ES</v>
      </c>
      <c r="J16" s="1" t="str">
        <f>MID(Dataset[[#This Row],[Product ID]],4,6)</f>
        <v>APR-ES</v>
      </c>
    </row>
    <row r="17" spans="1:17" ht="16.2" customHeight="1" thickBot="1" x14ac:dyDescent="0.35">
      <c r="A17" s="1" t="s">
        <v>50</v>
      </c>
      <c r="B17" s="1" t="s">
        <v>51</v>
      </c>
      <c r="C17" s="1" t="s">
        <v>52</v>
      </c>
      <c r="D17" s="20">
        <v>50</v>
      </c>
      <c r="E17" s="1">
        <v>35</v>
      </c>
      <c r="F17" s="1" t="s">
        <v>53</v>
      </c>
      <c r="G17" s="1" t="str">
        <f>IF(Dataset[[#This Row],[Price ($)]]&gt;=500,"High Price",IF(Dataset[[#This Row],[Price ($)]]&lt;500,"Standard Price","True"))</f>
        <v>Standard Price</v>
      </c>
      <c r="H17" s="1" t="str">
        <f>LEFT(Dataset[[#This Row],[Product ID]],2)</f>
        <v>21</v>
      </c>
      <c r="I17" s="1" t="str">
        <f>RIGHT(Dataset[[#This Row],[Product ID]],2)</f>
        <v>CA</v>
      </c>
      <c r="J17" s="1" t="str">
        <f>MID(Dataset[[#This Row],[Product ID]],4,6)</f>
        <v>AUG-CA</v>
      </c>
      <c r="L17" s="10" t="s">
        <v>100</v>
      </c>
      <c r="M17" s="11">
        <f>COUNTA(Dataset[Product Name])</f>
        <v>34</v>
      </c>
      <c r="Q17" s="8" t="s">
        <v>108</v>
      </c>
    </row>
    <row r="18" spans="1:17" ht="21.6" thickBot="1" x14ac:dyDescent="0.35">
      <c r="A18" s="1" t="s">
        <v>54</v>
      </c>
      <c r="B18" s="1" t="s">
        <v>46</v>
      </c>
      <c r="C18" s="1" t="s">
        <v>55</v>
      </c>
      <c r="D18" s="20">
        <v>160</v>
      </c>
      <c r="E18" s="1">
        <v>15</v>
      </c>
      <c r="F18" s="1" t="s">
        <v>9</v>
      </c>
      <c r="G18" s="1" t="str">
        <f>IF(Dataset[[#This Row],[Price ($)]]&gt;=500,"High Price",IF(Dataset[[#This Row],[Price ($)]]&lt;500,"Standard Price","True"))</f>
        <v>Standard Price</v>
      </c>
      <c r="H18" s="1" t="str">
        <f>LEFT(Dataset[[#This Row],[Product ID]],2)</f>
        <v>20</v>
      </c>
      <c r="I18" s="1" t="str">
        <f>RIGHT(Dataset[[#This Row],[Product ID]],2)</f>
        <v>CN</v>
      </c>
      <c r="J18" s="1" t="str">
        <f>MID(Dataset[[#This Row],[Product ID]],4,6)</f>
        <v>AUG-CN</v>
      </c>
      <c r="L18" s="12"/>
      <c r="M18" s="3"/>
    </row>
    <row r="19" spans="1:17" ht="25.8" customHeight="1" thickBot="1" x14ac:dyDescent="0.35">
      <c r="A19" s="1" t="s">
        <v>56</v>
      </c>
      <c r="B19" s="1" t="s">
        <v>7</v>
      </c>
      <c r="C19" s="1" t="s">
        <v>57</v>
      </c>
      <c r="D19" s="20">
        <v>980</v>
      </c>
      <c r="E19" s="1">
        <v>10</v>
      </c>
      <c r="F19" s="1" t="s">
        <v>9</v>
      </c>
      <c r="G19" s="1" t="str">
        <f>IF(Dataset[[#This Row],[Price ($)]]&gt;=500,"High Price",IF(Dataset[[#This Row],[Price ($)]]&lt;500,"Standard Price","True"))</f>
        <v>High Price</v>
      </c>
      <c r="H19" s="1" t="str">
        <f>LEFT(Dataset[[#This Row],[Product ID]],2)</f>
        <v>27</v>
      </c>
      <c r="I19" s="1" t="str">
        <f>RIGHT(Dataset[[#This Row],[Product ID]],2)</f>
        <v>IT</v>
      </c>
      <c r="J19" s="1" t="str">
        <f>MID(Dataset[[#This Row],[Product ID]],4,6)</f>
        <v>JAN-IT</v>
      </c>
      <c r="M19" s="8" t="s">
        <v>143</v>
      </c>
      <c r="Q19" s="2" t="s">
        <v>116</v>
      </c>
    </row>
    <row r="20" spans="1:17" x14ac:dyDescent="0.3">
      <c r="A20" s="1" t="s">
        <v>58</v>
      </c>
      <c r="B20" s="1" t="s">
        <v>59</v>
      </c>
      <c r="C20" s="1" t="s">
        <v>60</v>
      </c>
      <c r="D20" s="20">
        <v>150</v>
      </c>
      <c r="E20" s="1">
        <v>15</v>
      </c>
      <c r="F20" s="1" t="s">
        <v>13</v>
      </c>
      <c r="G20" s="1" t="str">
        <f>IF(Dataset[[#This Row],[Price ($)]]&gt;=500,"High Price",IF(Dataset[[#This Row],[Price ($)]]&lt;500,"Standard Price","True"))</f>
        <v>Standard Price</v>
      </c>
      <c r="H20" s="1" t="str">
        <f>LEFT(Dataset[[#This Row],[Product ID]],2)</f>
        <v>01</v>
      </c>
      <c r="I20" s="1" t="str">
        <f>RIGHT(Dataset[[#This Row],[Product ID]],2)</f>
        <v>UK</v>
      </c>
      <c r="J20" s="1" t="str">
        <f>MID(Dataset[[#This Row],[Product ID]],4,6)</f>
        <v>MAR-UK</v>
      </c>
    </row>
    <row r="21" spans="1:17" ht="21" x14ac:dyDescent="0.3">
      <c r="A21" s="1" t="s">
        <v>61</v>
      </c>
      <c r="B21" s="1" t="s">
        <v>62</v>
      </c>
      <c r="C21" s="1" t="s">
        <v>63</v>
      </c>
      <c r="D21" s="20">
        <v>200</v>
      </c>
      <c r="E21" s="1">
        <v>10</v>
      </c>
      <c r="F21" s="1" t="s">
        <v>24</v>
      </c>
      <c r="G21" s="1" t="str">
        <f>IF(Dataset[[#This Row],[Price ($)]]&gt;=500,"High Price",IF(Dataset[[#This Row],[Price ($)]]&lt;500,"Standard Price","True"))</f>
        <v>Standard Price</v>
      </c>
      <c r="H21" s="1" t="str">
        <f>LEFT(Dataset[[#This Row],[Product ID]],2)</f>
        <v>14</v>
      </c>
      <c r="I21" s="1" t="str">
        <f>RIGHT(Dataset[[#This Row],[Product ID]],2)</f>
        <v>US</v>
      </c>
      <c r="J21" s="1" t="str">
        <f>MID(Dataset[[#This Row],[Product ID]],4,6)</f>
        <v>AUG-US</v>
      </c>
      <c r="L21" s="13" t="s">
        <v>101</v>
      </c>
      <c r="M21" s="14" t="s">
        <v>141</v>
      </c>
      <c r="Q21" s="3" t="s">
        <v>117</v>
      </c>
    </row>
    <row r="22" spans="1:17" x14ac:dyDescent="0.3">
      <c r="A22" s="1" t="s">
        <v>64</v>
      </c>
      <c r="B22" s="1" t="s">
        <v>65</v>
      </c>
      <c r="C22" s="1" t="s">
        <v>66</v>
      </c>
      <c r="D22" s="20">
        <v>700</v>
      </c>
      <c r="E22" s="1">
        <v>50</v>
      </c>
      <c r="F22" s="1" t="s">
        <v>9</v>
      </c>
      <c r="G22" s="1" t="str">
        <f>IF(Dataset[[#This Row],[Price ($)]]&gt;=500,"High Price",IF(Dataset[[#This Row],[Price ($)]]&lt;500,"Standard Price","True"))</f>
        <v>High Price</v>
      </c>
      <c r="H22" s="1" t="str">
        <f>LEFT(Dataset[[#This Row],[Product ID]],2)</f>
        <v>14</v>
      </c>
      <c r="I22" s="1" t="str">
        <f>RIGHT(Dataset[[#This Row],[Product ID]],2)</f>
        <v>RU</v>
      </c>
      <c r="J22" s="1" t="str">
        <f>MID(Dataset[[#This Row],[Product ID]],4,6)</f>
        <v>MAY-RU</v>
      </c>
      <c r="L22" s="15"/>
      <c r="M22" s="15"/>
    </row>
    <row r="23" spans="1:17" ht="18" x14ac:dyDescent="0.3">
      <c r="A23" s="1" t="s">
        <v>67</v>
      </c>
      <c r="B23" s="1" t="s">
        <v>68</v>
      </c>
      <c r="C23" s="1" t="s">
        <v>69</v>
      </c>
      <c r="D23" s="20">
        <v>80</v>
      </c>
      <c r="E23" s="1">
        <v>20</v>
      </c>
      <c r="F23" s="1" t="s">
        <v>17</v>
      </c>
      <c r="G23" s="1" t="str">
        <f>IF(Dataset[[#This Row],[Price ($)]]&gt;=500,"High Price",IF(Dataset[[#This Row],[Price ($)]]&lt;500,"Standard Price","True"))</f>
        <v>Standard Price</v>
      </c>
      <c r="H23" s="1" t="str">
        <f>LEFT(Dataset[[#This Row],[Product ID]],2)</f>
        <v>09</v>
      </c>
      <c r="I23" s="1" t="str">
        <f>RIGHT(Dataset[[#This Row],[Product ID]],2)</f>
        <v>CA</v>
      </c>
      <c r="J23" s="1" t="str">
        <f>MID(Dataset[[#This Row],[Product ID]],4,6)</f>
        <v>JAN-CA</v>
      </c>
      <c r="L23" s="13" t="s">
        <v>102</v>
      </c>
      <c r="M23" s="16" t="s">
        <v>103</v>
      </c>
      <c r="Q23" s="22" t="s">
        <v>118</v>
      </c>
    </row>
    <row r="24" spans="1:17" ht="15" x14ac:dyDescent="0.3">
      <c r="A24" s="1" t="s">
        <v>70</v>
      </c>
      <c r="B24" s="1" t="s">
        <v>71</v>
      </c>
      <c r="C24" s="1" t="s">
        <v>72</v>
      </c>
      <c r="D24" s="20">
        <v>150</v>
      </c>
      <c r="E24" s="1">
        <v>30</v>
      </c>
      <c r="F24" s="1" t="s">
        <v>9</v>
      </c>
      <c r="G24" s="1" t="str">
        <f>IF(Dataset[[#This Row],[Price ($)]]&gt;=500,"High Price",IF(Dataset[[#This Row],[Price ($)]]&lt;500,"Standard Price","True"))</f>
        <v>Standard Price</v>
      </c>
      <c r="H24" s="1" t="str">
        <f>LEFT(Dataset[[#This Row],[Product ID]],2)</f>
        <v>19</v>
      </c>
      <c r="I24" s="1" t="str">
        <f>RIGHT(Dataset[[#This Row],[Product ID]],2)</f>
        <v>BR</v>
      </c>
      <c r="J24" s="1" t="str">
        <f>MID(Dataset[[#This Row],[Product ID]],4,6)</f>
        <v>JUL-BR</v>
      </c>
      <c r="M24" s="5" t="s">
        <v>104</v>
      </c>
    </row>
    <row r="25" spans="1:17" ht="15.6" thickBot="1" x14ac:dyDescent="0.35">
      <c r="A25" s="1" t="s">
        <v>50</v>
      </c>
      <c r="B25" s="1" t="s">
        <v>51</v>
      </c>
      <c r="C25" s="1" t="s">
        <v>52</v>
      </c>
      <c r="D25" s="20">
        <v>50</v>
      </c>
      <c r="E25" s="1">
        <v>35</v>
      </c>
      <c r="F25" s="1" t="s">
        <v>53</v>
      </c>
      <c r="G25" s="1" t="str">
        <f>IF(Dataset[[#This Row],[Price ($)]]&gt;=500,"High Price",IF(Dataset[[#This Row],[Price ($)]]&lt;500,"Standard Price","True"))</f>
        <v>Standard Price</v>
      </c>
      <c r="H25" s="1" t="str">
        <f>LEFT(Dataset[[#This Row],[Product ID]],2)</f>
        <v>21</v>
      </c>
      <c r="I25" s="1" t="str">
        <f>RIGHT(Dataset[[#This Row],[Product ID]],2)</f>
        <v>CA</v>
      </c>
      <c r="J25" s="1" t="str">
        <f>MID(Dataset[[#This Row],[Product ID]],4,6)</f>
        <v>AUG-CA</v>
      </c>
      <c r="Q25" s="5" t="s">
        <v>119</v>
      </c>
    </row>
    <row r="26" spans="1:17" ht="23.4" customHeight="1" thickBot="1" x14ac:dyDescent="0.35">
      <c r="A26" s="1" t="s">
        <v>73</v>
      </c>
      <c r="B26" s="1" t="s">
        <v>19</v>
      </c>
      <c r="C26" s="1" t="s">
        <v>74</v>
      </c>
      <c r="D26" s="20">
        <v>800</v>
      </c>
      <c r="E26" s="1">
        <v>45</v>
      </c>
      <c r="F26" s="1" t="s">
        <v>9</v>
      </c>
      <c r="G26" s="1" t="str">
        <f>IF(Dataset[[#This Row],[Price ($)]]&gt;=500,"High Price",IF(Dataset[[#This Row],[Price ($)]]&lt;500,"Standard Price","True"))</f>
        <v>High Price</v>
      </c>
      <c r="H26" s="1" t="str">
        <f>LEFT(Dataset[[#This Row],[Product ID]],2)</f>
        <v>29</v>
      </c>
      <c r="I26" s="1" t="str">
        <f>RIGHT(Dataset[[#This Row],[Product ID]],2)</f>
        <v>CA</v>
      </c>
      <c r="J26" s="1" t="str">
        <f>MID(Dataset[[#This Row],[Product ID]],4,6)</f>
        <v>SEP-CA</v>
      </c>
      <c r="L26" s="17" t="s">
        <v>105</v>
      </c>
      <c r="M26" s="18">
        <f>COUNT(Dataset[Product Name])</f>
        <v>0</v>
      </c>
    </row>
    <row r="27" spans="1:17" ht="15.6" thickBot="1" x14ac:dyDescent="0.35">
      <c r="A27" s="1" t="s">
        <v>75</v>
      </c>
      <c r="B27" s="1" t="s">
        <v>59</v>
      </c>
      <c r="C27" s="1" t="s">
        <v>76</v>
      </c>
      <c r="D27" s="20">
        <v>130</v>
      </c>
      <c r="E27" s="1">
        <v>25</v>
      </c>
      <c r="F27" s="1" t="s">
        <v>13</v>
      </c>
      <c r="G27" s="1" t="str">
        <f>IF(Dataset[[#This Row],[Price ($)]]&gt;=500,"High Price",IF(Dataset[[#This Row],[Price ($)]]&lt;500,"Standard Price","True"))</f>
        <v>Standard Price</v>
      </c>
      <c r="H27" s="1" t="str">
        <f>LEFT(Dataset[[#This Row],[Product ID]],2)</f>
        <v>03</v>
      </c>
      <c r="I27" s="1" t="str">
        <f>RIGHT(Dataset[[#This Row],[Product ID]],2)</f>
        <v>CA</v>
      </c>
      <c r="J27" s="1" t="str">
        <f>MID(Dataset[[#This Row],[Product ID]],4,6)</f>
        <v>JUN-CA</v>
      </c>
      <c r="P27" s="6" t="s">
        <v>120</v>
      </c>
      <c r="Q27" s="23">
        <f>SUMIF(Dataset[Category],"Electronics",Dataset[Price ($)])</f>
        <v>8050</v>
      </c>
    </row>
    <row r="28" spans="1:17" ht="18.600000000000001" thickBot="1" x14ac:dyDescent="0.35">
      <c r="A28" s="1" t="s">
        <v>77</v>
      </c>
      <c r="B28" s="1" t="s">
        <v>32</v>
      </c>
      <c r="C28" s="1" t="s">
        <v>78</v>
      </c>
      <c r="D28" s="20">
        <v>400</v>
      </c>
      <c r="E28" s="1">
        <v>40</v>
      </c>
      <c r="F28" s="1" t="s">
        <v>17</v>
      </c>
      <c r="G28" s="1" t="str">
        <f>IF(Dataset[[#This Row],[Price ($)]]&gt;=500,"High Price",IF(Dataset[[#This Row],[Price ($)]]&lt;500,"Standard Price","True"))</f>
        <v>Standard Price</v>
      </c>
      <c r="H28" s="1" t="str">
        <f>LEFT(Dataset[[#This Row],[Product ID]],2)</f>
        <v>11</v>
      </c>
      <c r="I28" s="1" t="str">
        <f>RIGHT(Dataset[[#This Row],[Product ID]],2)</f>
        <v>CA</v>
      </c>
      <c r="J28" s="1" t="str">
        <f>MID(Dataset[[#This Row],[Product ID]],4,6)</f>
        <v>JUL-CA</v>
      </c>
      <c r="M28" s="9" t="s">
        <v>142</v>
      </c>
    </row>
    <row r="29" spans="1:17" ht="18" customHeight="1" thickBot="1" x14ac:dyDescent="0.35">
      <c r="A29" s="1" t="s">
        <v>48</v>
      </c>
      <c r="B29" s="1" t="s">
        <v>26</v>
      </c>
      <c r="C29" s="1" t="s">
        <v>49</v>
      </c>
      <c r="D29" s="20">
        <v>230</v>
      </c>
      <c r="E29" s="1">
        <v>20</v>
      </c>
      <c r="F29" s="1" t="s">
        <v>9</v>
      </c>
      <c r="G29" s="1" t="str">
        <f>IF(Dataset[[#This Row],[Price ($)]]&gt;=500,"High Price",IF(Dataset[[#This Row],[Price ($)]]&lt;500,"Standard Price","True"))</f>
        <v>Standard Price</v>
      </c>
      <c r="H29" s="1" t="str">
        <f>LEFT(Dataset[[#This Row],[Product ID]],2)</f>
        <v>16</v>
      </c>
      <c r="I29" s="1" t="str">
        <f>RIGHT(Dataset[[#This Row],[Product ID]],2)</f>
        <v>ES</v>
      </c>
      <c r="J29" s="1" t="str">
        <f>MID(Dataset[[#This Row],[Product ID]],4,6)</f>
        <v>APR-ES</v>
      </c>
      <c r="Q29" s="8" t="s">
        <v>137</v>
      </c>
    </row>
    <row r="30" spans="1:17" ht="15" x14ac:dyDescent="0.3">
      <c r="A30" s="1" t="s">
        <v>79</v>
      </c>
      <c r="B30" s="1" t="s">
        <v>80</v>
      </c>
      <c r="C30" s="1" t="s">
        <v>81</v>
      </c>
      <c r="D30" s="20">
        <v>60</v>
      </c>
      <c r="E30" s="1">
        <v>30</v>
      </c>
      <c r="F30" s="1" t="s">
        <v>13</v>
      </c>
      <c r="G30" s="1" t="str">
        <f>IF(Dataset[[#This Row],[Price ($)]]&gt;=500,"High Price",IF(Dataset[[#This Row],[Price ($)]]&lt;500,"Standard Price","True"))</f>
        <v>Standard Price</v>
      </c>
      <c r="H30" s="1" t="str">
        <f>LEFT(Dataset[[#This Row],[Product ID]],2)</f>
        <v>07</v>
      </c>
      <c r="I30" s="1" t="str">
        <f>RIGHT(Dataset[[#This Row],[Product ID]],2)</f>
        <v>CA</v>
      </c>
      <c r="J30" s="1" t="str">
        <f>MID(Dataset[[#This Row],[Product ID]],4,6)</f>
        <v>MAR-CA</v>
      </c>
      <c r="M30" s="5" t="s">
        <v>106</v>
      </c>
    </row>
    <row r="31" spans="1:17" ht="18" x14ac:dyDescent="0.3">
      <c r="A31" s="1" t="s">
        <v>82</v>
      </c>
      <c r="B31" s="1" t="s">
        <v>83</v>
      </c>
      <c r="C31" s="1" t="s">
        <v>84</v>
      </c>
      <c r="D31" s="20">
        <v>40</v>
      </c>
      <c r="E31" s="1">
        <v>10</v>
      </c>
      <c r="F31" s="1" t="s">
        <v>17</v>
      </c>
      <c r="G31" s="1" t="str">
        <f>IF(Dataset[[#This Row],[Price ($)]]&gt;=500,"High Price",IF(Dataset[[#This Row],[Price ($)]]&lt;500,"Standard Price","True"))</f>
        <v>Standard Price</v>
      </c>
      <c r="H31" s="1" t="str">
        <f>LEFT(Dataset[[#This Row],[Product ID]],2)</f>
        <v>13</v>
      </c>
      <c r="I31" s="1" t="str">
        <f>RIGHT(Dataset[[#This Row],[Product ID]],2)</f>
        <v>CA</v>
      </c>
      <c r="J31" s="1" t="str">
        <f>MID(Dataset[[#This Row],[Product ID]],4,6)</f>
        <v>APR-CA</v>
      </c>
      <c r="Q31" s="22" t="s">
        <v>121</v>
      </c>
    </row>
    <row r="32" spans="1:17" ht="16.2" customHeight="1" x14ac:dyDescent="0.3">
      <c r="A32" s="1" t="s">
        <v>85</v>
      </c>
      <c r="B32" s="1" t="s">
        <v>71</v>
      </c>
      <c r="C32" s="1" t="s">
        <v>86</v>
      </c>
      <c r="D32" s="20">
        <v>130</v>
      </c>
      <c r="E32" s="1">
        <v>5</v>
      </c>
      <c r="F32" s="1" t="s">
        <v>9</v>
      </c>
      <c r="G32" s="1" t="str">
        <f>IF(Dataset[[#This Row],[Price ($)]]&gt;=500,"High Price",IF(Dataset[[#This Row],[Price ($)]]&lt;500,"Standard Price","True"))</f>
        <v>Standard Price</v>
      </c>
      <c r="H32" s="1" t="str">
        <f>LEFT(Dataset[[#This Row],[Product ID]],2)</f>
        <v>24</v>
      </c>
      <c r="I32" s="1" t="str">
        <f>RIGHT(Dataset[[#This Row],[Product ID]],2)</f>
        <v>CA</v>
      </c>
      <c r="J32" s="1" t="str">
        <f>MID(Dataset[[#This Row],[Product ID]],4,6)</f>
        <v>MAY-CA</v>
      </c>
      <c r="L32" s="10" t="s">
        <v>107</v>
      </c>
      <c r="M32" s="19">
        <f>AVERAGE(Dataset[Price ($)])</f>
        <v>297.05882352941177</v>
      </c>
    </row>
    <row r="33" spans="1:17" ht="15.6" thickBot="1" x14ac:dyDescent="0.35">
      <c r="A33" s="1" t="s">
        <v>87</v>
      </c>
      <c r="B33" s="1" t="s">
        <v>88</v>
      </c>
      <c r="C33" s="1" t="s">
        <v>89</v>
      </c>
      <c r="D33" s="20">
        <v>50</v>
      </c>
      <c r="E33" s="1">
        <v>50</v>
      </c>
      <c r="F33" s="1" t="s">
        <v>13</v>
      </c>
      <c r="G33" s="1" t="str">
        <f>IF(Dataset[[#This Row],[Price ($)]]&gt;=500,"High Price",IF(Dataset[[#This Row],[Price ($)]]&lt;500,"Standard Price","True"))</f>
        <v>Standard Price</v>
      </c>
      <c r="H33" s="1" t="str">
        <f>LEFT(Dataset[[#This Row],[Product ID]],2)</f>
        <v>02</v>
      </c>
      <c r="I33" s="1" t="str">
        <f>RIGHT(Dataset[[#This Row],[Product ID]],2)</f>
        <v>CA</v>
      </c>
      <c r="J33" s="1" t="str">
        <f>MID(Dataset[[#This Row],[Product ID]],4,6)</f>
        <v>DEC-CA</v>
      </c>
      <c r="Q33" s="5" t="s">
        <v>122</v>
      </c>
    </row>
    <row r="34" spans="1:17" ht="15.6" customHeight="1" thickBot="1" x14ac:dyDescent="0.35">
      <c r="A34" s="1" t="s">
        <v>40</v>
      </c>
      <c r="B34" s="1" t="s">
        <v>7</v>
      </c>
      <c r="C34" s="1" t="s">
        <v>41</v>
      </c>
      <c r="D34" s="20">
        <v>950</v>
      </c>
      <c r="E34" s="1">
        <v>25</v>
      </c>
      <c r="F34" s="1" t="s">
        <v>9</v>
      </c>
      <c r="G34" s="1" t="str">
        <f>IF(Dataset[[#This Row],[Price ($)]]&gt;=500,"High Price",IF(Dataset[[#This Row],[Price ($)]]&lt;500,"Standard Price","True"))</f>
        <v>High Price</v>
      </c>
      <c r="H34" s="1" t="str">
        <f>LEFT(Dataset[[#This Row],[Product ID]],2)</f>
        <v>17</v>
      </c>
      <c r="I34" s="1" t="str">
        <f>RIGHT(Dataset[[#This Row],[Product ID]],2)</f>
        <v>IN</v>
      </c>
      <c r="J34" s="1" t="str">
        <f>MID(Dataset[[#This Row],[Product ID]],4,6)</f>
        <v>JUN-IN</v>
      </c>
      <c r="M34" s="8" t="s">
        <v>144</v>
      </c>
    </row>
    <row r="35" spans="1:17" ht="16.2" customHeight="1" thickBot="1" x14ac:dyDescent="0.35">
      <c r="A35" s="1" t="s">
        <v>90</v>
      </c>
      <c r="B35" s="1" t="s">
        <v>91</v>
      </c>
      <c r="C35" s="1" t="s">
        <v>92</v>
      </c>
      <c r="D35" s="20">
        <v>100</v>
      </c>
      <c r="E35" s="1">
        <v>20</v>
      </c>
      <c r="F35" s="1" t="s">
        <v>53</v>
      </c>
      <c r="G35" s="1" t="str">
        <f>IF(Dataset[[#This Row],[Price ($)]]&gt;=500,"High Price",IF(Dataset[[#This Row],[Price ($)]]&lt;500,"Standard Price","True"))</f>
        <v>Standard Price</v>
      </c>
      <c r="H35" s="1" t="str">
        <f>LEFT(Dataset[[#This Row],[Product ID]],2)</f>
        <v>09</v>
      </c>
      <c r="I35" s="1" t="str">
        <f>RIGHT(Dataset[[#This Row],[Product ID]],2)</f>
        <v>FR</v>
      </c>
      <c r="J35" s="1" t="str">
        <f>MID(Dataset[[#This Row],[Product ID]],4,6)</f>
        <v>JUL-FR</v>
      </c>
      <c r="P35" s="6" t="s">
        <v>123</v>
      </c>
      <c r="Q35" s="23">
        <f>COUNTIF(Dataset[Price ($)],"&lt;100")</f>
        <v>11</v>
      </c>
    </row>
    <row r="36" spans="1:17" ht="15" thickBot="1" x14ac:dyDescent="0.35"/>
    <row r="37" spans="1:17" ht="23.4" thickBot="1" x14ac:dyDescent="0.35">
      <c r="M37" s="2" t="s">
        <v>146</v>
      </c>
      <c r="Q37" s="8" t="s">
        <v>156</v>
      </c>
    </row>
    <row r="38" spans="1:17" ht="15" thickBot="1" x14ac:dyDescent="0.35"/>
    <row r="39" spans="1:17" ht="23.4" thickBot="1" x14ac:dyDescent="0.35">
      <c r="M39" s="3" t="s">
        <v>147</v>
      </c>
      <c r="Q39" s="2" t="s">
        <v>124</v>
      </c>
    </row>
    <row r="41" spans="1:17" ht="21" x14ac:dyDescent="0.3">
      <c r="M41" s="4" t="s">
        <v>148</v>
      </c>
      <c r="Q41" s="3" t="s">
        <v>125</v>
      </c>
    </row>
    <row r="43" spans="1:17" ht="18" x14ac:dyDescent="0.3">
      <c r="M43" s="5" t="s">
        <v>149</v>
      </c>
      <c r="Q43" s="22" t="s">
        <v>126</v>
      </c>
    </row>
    <row r="44" spans="1:17" ht="15" thickBot="1" x14ac:dyDescent="0.35"/>
    <row r="45" spans="1:17" ht="15.6" thickBot="1" x14ac:dyDescent="0.35">
      <c r="L45" s="6" t="s">
        <v>150</v>
      </c>
      <c r="M45" s="7">
        <f>MIN(Dataset[Price ($)])</f>
        <v>30</v>
      </c>
      <c r="Q45" s="5" t="s">
        <v>140</v>
      </c>
    </row>
    <row r="46" spans="1:17" ht="15" thickBot="1" x14ac:dyDescent="0.35"/>
    <row r="47" spans="1:17" ht="18" thickBot="1" x14ac:dyDescent="0.35">
      <c r="M47" s="8" t="s">
        <v>154</v>
      </c>
      <c r="P47" s="6" t="s">
        <v>127</v>
      </c>
      <c r="Q47" s="24" t="str">
        <f>LEFT(A2,2)</f>
        <v>28</v>
      </c>
    </row>
    <row r="48" spans="1:17" ht="15" thickBot="1" x14ac:dyDescent="0.35"/>
    <row r="49" spans="12:17" ht="18.600000000000001" thickBot="1" x14ac:dyDescent="0.35">
      <c r="M49" s="4" t="s">
        <v>151</v>
      </c>
      <c r="Q49" s="8" t="s">
        <v>157</v>
      </c>
    </row>
    <row r="50" spans="12:17" ht="36" x14ac:dyDescent="0.3">
      <c r="Q50" s="22" t="s">
        <v>128</v>
      </c>
    </row>
    <row r="51" spans="12:17" ht="15" x14ac:dyDescent="0.3">
      <c r="M51" s="5" t="s">
        <v>152</v>
      </c>
    </row>
    <row r="52" spans="12:17" ht="15.6" thickBot="1" x14ac:dyDescent="0.35">
      <c r="Q52" s="5" t="s">
        <v>139</v>
      </c>
    </row>
    <row r="53" spans="12:17" ht="15.6" thickBot="1" x14ac:dyDescent="0.35">
      <c r="L53" s="6" t="s">
        <v>153</v>
      </c>
      <c r="M53" s="7">
        <f>MAX(Dataset[Price ($)])</f>
        <v>1000</v>
      </c>
    </row>
    <row r="54" spans="12:17" ht="15.6" thickBot="1" x14ac:dyDescent="0.35">
      <c r="P54" s="6" t="s">
        <v>129</v>
      </c>
      <c r="Q54" s="24" t="str">
        <f>RIGHT(A2,2)</f>
        <v>US</v>
      </c>
    </row>
    <row r="55" spans="12:17" ht="18" thickBot="1" x14ac:dyDescent="0.35">
      <c r="M55" s="8" t="s">
        <v>155</v>
      </c>
    </row>
    <row r="56" spans="12:17" ht="18" thickBot="1" x14ac:dyDescent="0.35">
      <c r="Q56" s="8" t="s">
        <v>158</v>
      </c>
    </row>
    <row r="58" spans="12:17" ht="36" x14ac:dyDescent="0.3">
      <c r="Q58" s="22" t="s">
        <v>130</v>
      </c>
    </row>
    <row r="60" spans="12:17" ht="15" x14ac:dyDescent="0.3">
      <c r="Q60" s="5" t="s">
        <v>138</v>
      </c>
    </row>
    <row r="61" spans="12:17" ht="15" thickBot="1" x14ac:dyDescent="0.35"/>
    <row r="62" spans="12:17" ht="15.6" thickBot="1" x14ac:dyDescent="0.35">
      <c r="P62" s="6" t="s">
        <v>131</v>
      </c>
      <c r="Q62" s="24" t="str">
        <f>MID(A2,4,6)</f>
        <v>JAN-US</v>
      </c>
    </row>
    <row r="63" spans="12:17" ht="15" thickBot="1" x14ac:dyDescent="0.35"/>
    <row r="64" spans="12:17" ht="18" thickBot="1" x14ac:dyDescent="0.35">
      <c r="Q64" s="8" t="s">
        <v>159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59C2-07EA-432B-B48D-85F4683507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D472D0-5C5C-4720-97EB-490D7BD094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Idaya Gracy Jude</dc:creator>
  <cp:lastModifiedBy>Idaya Gracy Jude</cp:lastModifiedBy>
  <dcterms:created xsi:type="dcterms:W3CDTF">2026-05-21T01:02:10Z</dcterms:created>
  <dcterms:modified xsi:type="dcterms:W3CDTF">2026-05-21T20:55:11Z</dcterms:modified>
</cp:coreProperties>
</file>